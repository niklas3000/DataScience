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manuel\Documents\GitHub\DataScience\Machine learning for dummies\1 Predictions\"/>
    </mc:Choice>
  </mc:AlternateContent>
  <xr:revisionPtr revIDLastSave="0" documentId="8_{A9006202-732E-43AD-8E7F-A34E9600DDF6}" xr6:coauthVersionLast="34" xr6:coauthVersionMax="34" xr10:uidLastSave="{00000000-0000-0000-0000-000000000000}"/>
  <bookViews>
    <workbookView xWindow="0" yWindow="0" windowWidth="23040" windowHeight="9384" xr2:uid="{00000000-000D-0000-FFFF-FFFF00000000}"/>
  </bookViews>
  <sheets>
    <sheet name="Train" sheetId="4" r:id="rId1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" i="4" l="1"/>
  <c r="E12" i="4" s="1"/>
  <c r="D11" i="4"/>
  <c r="E11" i="4" s="1"/>
  <c r="F11" i="4" s="1"/>
  <c r="D13" i="4"/>
  <c r="E13" i="4" s="1"/>
  <c r="F13" i="4" s="1"/>
  <c r="D14" i="4"/>
  <c r="E14" i="4" s="1"/>
  <c r="D10" i="4"/>
  <c r="E10" i="4" s="1"/>
  <c r="D3" i="4" l="1"/>
  <c r="G11" i="4"/>
  <c r="G13" i="4"/>
  <c r="F14" i="4"/>
  <c r="G14" i="4"/>
  <c r="G10" i="4"/>
  <c r="F10" i="4"/>
  <c r="G12" i="4"/>
  <c r="F12" i="4"/>
  <c r="G16" i="4" l="1"/>
  <c r="G17" i="4" s="1"/>
  <c r="F16" i="4"/>
  <c r="F17" i="4" s="1"/>
</calcChain>
</file>

<file path=xl/sharedStrings.xml><?xml version="1.0" encoding="utf-8"?>
<sst xmlns="http://schemas.openxmlformats.org/spreadsheetml/2006/main" count="23" uniqueCount="23">
  <si>
    <t>Cost</t>
  </si>
  <si>
    <t>Bias</t>
  </si>
  <si>
    <t>Learning rate</t>
  </si>
  <si>
    <t>Weight</t>
  </si>
  <si>
    <t>Error</t>
  </si>
  <si>
    <t>Increment</t>
  </si>
  <si>
    <t>Gradient weight</t>
  </si>
  <si>
    <t>Gradient bias</t>
  </si>
  <si>
    <t>New value</t>
  </si>
  <si>
    <t>One variable linear regression</t>
  </si>
  <si>
    <t>Initiera weight och bias slumpmässigt</t>
  </si>
  <si>
    <t>Räkna hur fel prediction blir med de slumpmässigt valda weight och bias</t>
  </si>
  <si>
    <t>Räkna ut "gradients", åt vilket håll påverkar de nuvarande weights och bias resultatet</t>
  </si>
  <si>
    <t xml:space="preserve">Uppdatera weights och bias </t>
  </si>
  <si>
    <t>Multiplicera "gradients" med en learning rate för att få inkrement att ändra weights och bias med.</t>
  </si>
  <si>
    <t>Upprepa till felet proceduren till felet blir så litet som möjligt</t>
  </si>
  <si>
    <t>Train data set (5 examples)</t>
  </si>
  <si>
    <t>Prediction = X * Weight + Bias</t>
  </si>
  <si>
    <t>CTRL i</t>
  </si>
  <si>
    <t>X (boyta)</t>
  </si>
  <si>
    <t>Prediction = boyta * weight + bias</t>
  </si>
  <si>
    <t>Prediction-Pris</t>
  </si>
  <si>
    <t>Y (Verkligt pris)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</si>
</sst>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Pris hus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Train!$C$9</c:f>
              <c:strCache>
                <c:ptCount val="1"/>
                <c:pt idx="0">
                  <c:v>Y (Verkligt pris)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Train!$B$9:$B$14</c:f>
              <c:strCache>
                <c:ptCount val="6"/>
                <c:pt idx="0">
                  <c:v>X (boyta)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90</c:v>
                </c:pt>
                <c:pt idx="5">
                  <c:v>120</c:v>
                </c:pt>
              </c:strCache>
            </c:strRef>
          </c:xVal>
          <c:yVal>
            <c:numRef>
              <c:f>Train!$C$9:$C$14</c:f>
              <c:numCache>
                <c:formatCode>General</c:formatCode>
                <c:ptCount val="6"/>
                <c:pt idx="0">
                  <c:v>0</c:v>
                </c:pt>
                <c:pt idx="1">
                  <c:v>500</c:v>
                </c:pt>
                <c:pt idx="2">
                  <c:v>700</c:v>
                </c:pt>
                <c:pt idx="3">
                  <c:v>1050</c:v>
                </c:pt>
                <c:pt idx="4">
                  <c:v>1200</c:v>
                </c:pt>
                <c:pt idx="5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B-4806-B725-B4E295ED00B2}"/>
            </c:ext>
          </c:extLst>
        </c:ser>
        <c:ser>
          <c:idx val="1"/>
          <c:order val="1"/>
          <c:tx>
            <c:strRef>
              <c:f>Train!$D$9</c:f>
              <c:strCache>
                <c:ptCount val="1"/>
                <c:pt idx="0">
                  <c:v>Prediction-Pris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Train!$B$9:$B$14</c:f>
              <c:strCache>
                <c:ptCount val="6"/>
                <c:pt idx="0">
                  <c:v>X (boyta)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90</c:v>
                </c:pt>
                <c:pt idx="5">
                  <c:v>120</c:v>
                </c:pt>
              </c:strCache>
            </c:strRef>
          </c:xVal>
          <c:yVal>
            <c:numRef>
              <c:f>Train!$D$9:$D$14</c:f>
              <c:numCache>
                <c:formatCode>0</c:formatCode>
                <c:ptCount val="6"/>
                <c:pt idx="0" formatCode="General">
                  <c:v>0</c:v>
                </c:pt>
                <c:pt idx="1">
                  <c:v>100</c:v>
                </c:pt>
                <c:pt idx="2">
                  <c:v>160</c:v>
                </c:pt>
                <c:pt idx="3">
                  <c:v>280</c:v>
                </c:pt>
                <c:pt idx="4">
                  <c:v>310</c:v>
                </c:pt>
                <c:pt idx="5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8B-4806-B725-B4E295ED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20104"/>
        <c:axId val="396824808"/>
      </c:scatterChart>
      <c:valAx>
        <c:axId val="39682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Exampels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96824808"/>
        <c:crosses val="autoZero"/>
        <c:crossBetween val="midCat"/>
      </c:valAx>
      <c:valAx>
        <c:axId val="39682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Pris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9682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2</xdr:row>
      <xdr:rowOff>160020</xdr:rowOff>
    </xdr:from>
    <xdr:to>
      <xdr:col>15</xdr:col>
      <xdr:colOff>228600</xdr:colOff>
      <xdr:row>17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I35"/>
  <sheetViews>
    <sheetView tabSelected="1" workbookViewId="0">
      <selection activeCell="C26" sqref="C26"/>
    </sheetView>
  </sheetViews>
  <sheetFormatPr defaultRowHeight="14.4" x14ac:dyDescent="0.3"/>
  <cols>
    <col min="3" max="3" width="12.44140625" customWidth="1"/>
    <col min="4" max="4" width="15" customWidth="1"/>
    <col min="5" max="5" width="10.33203125" customWidth="1"/>
    <col min="6" max="6" width="14.77734375" customWidth="1"/>
    <col min="7" max="7" width="11.6640625" customWidth="1"/>
  </cols>
  <sheetData>
    <row r="1" spans="2:9" x14ac:dyDescent="0.3">
      <c r="B1" s="6" t="s">
        <v>18</v>
      </c>
    </row>
    <row r="2" spans="2:9" x14ac:dyDescent="0.3">
      <c r="B2" t="s">
        <v>3</v>
      </c>
      <c r="C2" t="s">
        <v>1</v>
      </c>
      <c r="D2" t="s">
        <v>0</v>
      </c>
      <c r="F2" t="s">
        <v>2</v>
      </c>
    </row>
    <row r="3" spans="2:9" x14ac:dyDescent="0.3">
      <c r="B3" s="3">
        <v>3</v>
      </c>
      <c r="C3" s="3">
        <v>40</v>
      </c>
      <c r="D3" s="1">
        <f>SUM($E$10^2+$E$11^2+E12^2+$E$13^2+$E$3^2+$E$14^2)/(2*5)</f>
        <v>304660</v>
      </c>
      <c r="F3">
        <v>5.0000000000000002E-5</v>
      </c>
    </row>
    <row r="4" spans="2:9" x14ac:dyDescent="0.3">
      <c r="D4" s="1"/>
    </row>
    <row r="6" spans="2:9" x14ac:dyDescent="0.3">
      <c r="B6" t="s">
        <v>17</v>
      </c>
      <c r="I6">
        <v>4</v>
      </c>
    </row>
    <row r="7" spans="2:9" x14ac:dyDescent="0.3">
      <c r="I7">
        <v>5</v>
      </c>
    </row>
    <row r="8" spans="2:9" x14ac:dyDescent="0.3">
      <c r="B8" t="s">
        <v>16</v>
      </c>
      <c r="I8">
        <v>6</v>
      </c>
    </row>
    <row r="9" spans="2:9" x14ac:dyDescent="0.3">
      <c r="B9" t="s">
        <v>19</v>
      </c>
      <c r="C9" t="s">
        <v>22</v>
      </c>
      <c r="D9" t="s">
        <v>21</v>
      </c>
      <c r="E9" t="s">
        <v>4</v>
      </c>
      <c r="F9" t="s">
        <v>6</v>
      </c>
      <c r="G9" t="s">
        <v>7</v>
      </c>
      <c r="I9">
        <v>7</v>
      </c>
    </row>
    <row r="10" spans="2:9" x14ac:dyDescent="0.3">
      <c r="B10">
        <v>20</v>
      </c>
      <c r="C10">
        <v>500</v>
      </c>
      <c r="D10" s="2">
        <f>B10*$B$3+$C$3</f>
        <v>100</v>
      </c>
      <c r="E10" s="2">
        <f>D10-C10</f>
        <v>-400</v>
      </c>
      <c r="F10" s="2">
        <f>E10*B10</f>
        <v>-8000</v>
      </c>
      <c r="G10" s="2">
        <f>E10</f>
        <v>-400</v>
      </c>
      <c r="I10">
        <v>8</v>
      </c>
    </row>
    <row r="11" spans="2:9" x14ac:dyDescent="0.3">
      <c r="B11">
        <v>40</v>
      </c>
      <c r="C11">
        <v>700</v>
      </c>
      <c r="D11" s="2">
        <f t="shared" ref="D11:D14" si="0">B11*$B$3+$C$3</f>
        <v>160</v>
      </c>
      <c r="E11" s="2">
        <f t="shared" ref="E11:E14" si="1">D11-C11</f>
        <v>-540</v>
      </c>
      <c r="F11" s="2">
        <f t="shared" ref="F11:F14" si="2">E11*B11</f>
        <v>-21600</v>
      </c>
      <c r="G11" s="2">
        <f t="shared" ref="G11:G14" si="3">E11</f>
        <v>-540</v>
      </c>
      <c r="I11">
        <v>9</v>
      </c>
    </row>
    <row r="12" spans="2:9" x14ac:dyDescent="0.3">
      <c r="B12">
        <v>80</v>
      </c>
      <c r="C12">
        <v>1050</v>
      </c>
      <c r="D12" s="2">
        <f t="shared" si="0"/>
        <v>280</v>
      </c>
      <c r="E12" s="2">
        <f t="shared" si="1"/>
        <v>-770</v>
      </c>
      <c r="F12" s="2">
        <f t="shared" si="2"/>
        <v>-61600</v>
      </c>
      <c r="G12" s="2">
        <f t="shared" si="3"/>
        <v>-770</v>
      </c>
      <c r="I12">
        <v>10</v>
      </c>
    </row>
    <row r="13" spans="2:9" x14ac:dyDescent="0.3">
      <c r="B13">
        <v>90</v>
      </c>
      <c r="C13">
        <v>1200</v>
      </c>
      <c r="D13" s="2">
        <f t="shared" si="0"/>
        <v>310</v>
      </c>
      <c r="E13" s="2">
        <f t="shared" si="1"/>
        <v>-890</v>
      </c>
      <c r="F13" s="2">
        <f t="shared" si="2"/>
        <v>-80100</v>
      </c>
      <c r="G13" s="2">
        <f t="shared" si="3"/>
        <v>-890</v>
      </c>
    </row>
    <row r="14" spans="2:9" x14ac:dyDescent="0.3">
      <c r="B14">
        <v>120</v>
      </c>
      <c r="C14">
        <v>1500</v>
      </c>
      <c r="D14" s="2">
        <f t="shared" si="0"/>
        <v>400</v>
      </c>
      <c r="E14" s="2">
        <f t="shared" si="1"/>
        <v>-1100</v>
      </c>
      <c r="F14" s="2">
        <f t="shared" si="2"/>
        <v>-132000</v>
      </c>
      <c r="G14" s="2">
        <f t="shared" si="3"/>
        <v>-1100</v>
      </c>
    </row>
    <row r="15" spans="2:9" x14ac:dyDescent="0.3">
      <c r="D15" s="2"/>
      <c r="E15" s="2"/>
      <c r="F15" s="2"/>
      <c r="G15" s="2"/>
    </row>
    <row r="16" spans="2:9" x14ac:dyDescent="0.3">
      <c r="D16" s="2"/>
      <c r="E16" s="2" t="s">
        <v>5</v>
      </c>
      <c r="F16" s="4">
        <f>-SUM(F10:F14)*(1/5)*F3</f>
        <v>3.0330000000000004</v>
      </c>
      <c r="G16" s="4">
        <f>-SUM(G10:G14)*(1/5)</f>
        <v>740</v>
      </c>
    </row>
    <row r="17" spans="2:7" x14ac:dyDescent="0.3">
      <c r="D17" s="2"/>
      <c r="E17" s="2" t="s">
        <v>8</v>
      </c>
      <c r="F17" s="4">
        <f>B3+F16</f>
        <v>6.0330000000000004</v>
      </c>
      <c r="G17" s="4">
        <f>C3+G16</f>
        <v>780</v>
      </c>
    </row>
    <row r="21" spans="2:7" ht="25.8" x14ac:dyDescent="0.5">
      <c r="B21" s="5" t="s">
        <v>9</v>
      </c>
      <c r="C21" s="5"/>
      <c r="D21" s="5"/>
    </row>
    <row r="23" spans="2:7" x14ac:dyDescent="0.3">
      <c r="B23" t="s">
        <v>20</v>
      </c>
    </row>
    <row r="25" spans="2:7" x14ac:dyDescent="0.3">
      <c r="B25" t="s">
        <v>10</v>
      </c>
    </row>
    <row r="27" spans="2:7" x14ac:dyDescent="0.3">
      <c r="B27" t="s">
        <v>11</v>
      </c>
    </row>
    <row r="29" spans="2:7" x14ac:dyDescent="0.3">
      <c r="B29" t="s">
        <v>12</v>
      </c>
    </row>
    <row r="31" spans="2:7" x14ac:dyDescent="0.3">
      <c r="B31" t="s">
        <v>14</v>
      </c>
    </row>
    <row r="33" spans="2:2" x14ac:dyDescent="0.3">
      <c r="B33" t="s">
        <v>13</v>
      </c>
    </row>
    <row r="35" spans="2:2" x14ac:dyDescent="0.3">
      <c r="B35" t="s">
        <v>15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Emanuelsson, Niklas</dc:creator>
  <cp:lastModifiedBy>Emanuelsson, Niklas</cp:lastModifiedBy>
  <dcterms:created xsi:type="dcterms:W3CDTF">2017-10-11T07:12:33Z</dcterms:created>
  <dcterms:modified xsi:type="dcterms:W3CDTF">2018-07-26T15:10:05Z</dcterms:modified>
</cp:coreProperties>
</file>