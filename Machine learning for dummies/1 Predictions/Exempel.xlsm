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emanuel\Desktop\Demo\"/>
    </mc:Choice>
  </mc:AlternateContent>
  <bookViews>
    <workbookView xWindow="0" yWindow="0" windowWidth="23040" windowHeight="9384" activeTab="4"/>
  </bookViews>
  <sheets>
    <sheet name="Start" sheetId="5" r:id="rId1"/>
    <sheet name="Train" sheetId="4" r:id="rId2"/>
    <sheet name="Summary" sheetId="1" r:id="rId3"/>
    <sheet name="Validera" sheetId="2" r:id="rId4"/>
    <sheet name="One hot encoding" sheetId="3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4" l="1"/>
  <c r="E12" i="4" s="1"/>
  <c r="D11" i="4"/>
  <c r="E11" i="4" s="1"/>
  <c r="F11" i="4" s="1"/>
  <c r="D13" i="4"/>
  <c r="E13" i="4" s="1"/>
  <c r="F13" i="4" s="1"/>
  <c r="D14" i="4"/>
  <c r="E14" i="4" s="1"/>
  <c r="D10" i="4"/>
  <c r="E10" i="4" s="1"/>
  <c r="D3" i="4" l="1"/>
  <c r="G11" i="4"/>
  <c r="G13" i="4"/>
  <c r="F14" i="4"/>
  <c r="G14" i="4"/>
  <c r="G10" i="4"/>
  <c r="F10" i="4"/>
  <c r="G12" i="4"/>
  <c r="F12" i="4"/>
  <c r="G16" i="4" l="1"/>
  <c r="G17" i="4" s="1"/>
  <c r="F16" i="4"/>
  <c r="F17" i="4" s="1"/>
</calcChain>
</file>

<file path=xl/sharedStrings.xml><?xml version="1.0" encoding="utf-8"?>
<sst xmlns="http://schemas.openxmlformats.org/spreadsheetml/2006/main" count="45" uniqueCount="43">
  <si>
    <t>Cost</t>
  </si>
  <si>
    <t>Bias</t>
  </si>
  <si>
    <t>Learning rate</t>
  </si>
  <si>
    <t>Weight</t>
  </si>
  <si>
    <t>Error</t>
  </si>
  <si>
    <t>Prediction</t>
  </si>
  <si>
    <t>X (area)</t>
  </si>
  <si>
    <t>Y (pris)</t>
  </si>
  <si>
    <t>Increment</t>
  </si>
  <si>
    <t>Gradient weight</t>
  </si>
  <si>
    <t>Gradient bias</t>
  </si>
  <si>
    <t>New value</t>
  </si>
  <si>
    <t>One variable linear regression</t>
  </si>
  <si>
    <t>Prediction = area * weight + bias</t>
  </si>
  <si>
    <t>Initiera weight och bias slumpmässigt</t>
  </si>
  <si>
    <t>Räkna hur fel prediction blir med de slumpmässigt valda weight och bias</t>
  </si>
  <si>
    <t>Räkna ut "gradients", åt vilket håll påverkar de nuvarande weights och bias resultatet</t>
  </si>
  <si>
    <t xml:space="preserve">Uppdatera weights och bias </t>
  </si>
  <si>
    <t>Multiplicera "gradients" med en learning rate för att få inkrement att ändra weights och bias med.</t>
  </si>
  <si>
    <t>Upprepa till felet proceduren till felet blir så litet som möjligt</t>
  </si>
  <si>
    <t>Train data set (5 examples)</t>
  </si>
  <si>
    <t>Loopa igenom alla träningsexempel</t>
  </si>
  <si>
    <t>Gör en liten uppdatering av weights och bias</t>
  </si>
  <si>
    <t>Prediction = X * Weight + Bias</t>
  </si>
  <si>
    <t>Hur mycket fel blir prediction med nuvarande weights och bias?</t>
  </si>
  <si>
    <t>Tusentals eller miljontals vikter och bias i ordnade i komplicerade nätverk</t>
  </si>
  <si>
    <t>Gör det möjligt att göra modeller som göra predictions på väldigt komplicerade saker</t>
  </si>
  <si>
    <t>Är modell bra nog? Annars gå till 1</t>
  </si>
  <si>
    <t>En väldigt stor del av all machine learning görs så här (supervised learning)</t>
  </si>
  <si>
    <t>Nätverken blir så komplicerade att det inte längre är möjligt att förstå varför modellen gör som den gör.</t>
  </si>
  <si>
    <t>CTRL i</t>
  </si>
  <si>
    <t>Veckodag</t>
  </si>
  <si>
    <t>måndag</t>
  </si>
  <si>
    <t>torsdag</t>
  </si>
  <si>
    <t>lördag</t>
  </si>
  <si>
    <t>tisdag</t>
  </si>
  <si>
    <t>onsdag</t>
  </si>
  <si>
    <t>fredag</t>
  </si>
  <si>
    <t>söndag</t>
  </si>
  <si>
    <t>"måndag"</t>
  </si>
  <si>
    <t>"torsdag"</t>
  </si>
  <si>
    <t>"lördag"</t>
  </si>
  <si>
    <t>"tisdag"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</si>
</sst>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3" fontId="0" fillId="0" borderId="0" xfId="0" applyNumberFormat="1"/>
    <xf numFmtId="1" fontId="0" fillId="0" borderId="0" xfId="0" applyNumberFormat="1"/>
    <xf numFmtId="164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0" applyFon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Train!$B$10:$B$14</c:f>
              <c:numCache>
                <c:formatCode>General</c:formatCode>
                <c:ptCount val="5"/>
                <c:pt idx="0">
                  <c:v>20</c:v>
                </c:pt>
                <c:pt idx="1">
                  <c:v>40</c:v>
                </c:pt>
                <c:pt idx="2">
                  <c:v>80</c:v>
                </c:pt>
                <c:pt idx="3">
                  <c:v>90</c:v>
                </c:pt>
                <c:pt idx="4">
                  <c:v>120</c:v>
                </c:pt>
              </c:numCache>
            </c:numRef>
          </c:xVal>
          <c:yVal>
            <c:numRef>
              <c:f>Train!$C$10:$C$14</c:f>
              <c:numCache>
                <c:formatCode>General</c:formatCode>
                <c:ptCount val="5"/>
                <c:pt idx="0">
                  <c:v>500</c:v>
                </c:pt>
                <c:pt idx="1">
                  <c:v>700</c:v>
                </c:pt>
                <c:pt idx="2">
                  <c:v>1050</c:v>
                </c:pt>
                <c:pt idx="3">
                  <c:v>1200</c:v>
                </c:pt>
                <c:pt idx="4">
                  <c:v>1500</c:v>
                </c:pt>
              </c:numCache>
            </c:numRef>
          </c:yVal>
          <c:smooth val="0"/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Train!$B$10:$B$14</c:f>
              <c:numCache>
                <c:formatCode>General</c:formatCode>
                <c:ptCount val="5"/>
                <c:pt idx="0">
                  <c:v>20</c:v>
                </c:pt>
                <c:pt idx="1">
                  <c:v>40</c:v>
                </c:pt>
                <c:pt idx="2">
                  <c:v>80</c:v>
                </c:pt>
                <c:pt idx="3">
                  <c:v>90</c:v>
                </c:pt>
                <c:pt idx="4">
                  <c:v>120</c:v>
                </c:pt>
              </c:numCache>
            </c:numRef>
          </c:xVal>
          <c:yVal>
            <c:numRef>
              <c:f>Train!$D$10:$D$14</c:f>
              <c:numCache>
                <c:formatCode>0</c:formatCode>
                <c:ptCount val="5"/>
                <c:pt idx="0">
                  <c:v>100</c:v>
                </c:pt>
                <c:pt idx="1">
                  <c:v>160</c:v>
                </c:pt>
                <c:pt idx="2">
                  <c:v>280</c:v>
                </c:pt>
                <c:pt idx="3">
                  <c:v>310</c:v>
                </c:pt>
                <c:pt idx="4">
                  <c:v>400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820104"/>
        <c:axId val="396824808"/>
      </c:scatterChart>
      <c:valAx>
        <c:axId val="396820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396824808"/>
        <c:crosses val="autoZero"/>
        <c:crossBetween val="midCat"/>
      </c:valAx>
      <c:valAx>
        <c:axId val="396824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396820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2</xdr:row>
      <xdr:rowOff>160020</xdr:rowOff>
    </xdr:from>
    <xdr:to>
      <xdr:col>15</xdr:col>
      <xdr:colOff>228600</xdr:colOff>
      <xdr:row>17</xdr:row>
      <xdr:rowOff>160020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D4:F18"/>
  <sheetViews>
    <sheetView workbookViewId="0">
      <selection activeCell="E16" sqref="E16"/>
    </sheetView>
  </sheetViews>
  <sheetFormatPr defaultRowHeight="14.4" x14ac:dyDescent="0.3"/>
  <sheetData>
    <row r="4" spans="4:6" ht="25.8" x14ac:dyDescent="0.5">
      <c r="D4" s="5" t="s">
        <v>12</v>
      </c>
      <c r="E4" s="5"/>
      <c r="F4" s="5"/>
    </row>
    <row r="6" spans="4:6" x14ac:dyDescent="0.3">
      <c r="D6" t="s">
        <v>13</v>
      </c>
    </row>
    <row r="8" spans="4:6" x14ac:dyDescent="0.3">
      <c r="D8" t="s">
        <v>14</v>
      </c>
    </row>
    <row r="10" spans="4:6" x14ac:dyDescent="0.3">
      <c r="D10" t="s">
        <v>15</v>
      </c>
    </row>
    <row r="12" spans="4:6" x14ac:dyDescent="0.3">
      <c r="D12" t="s">
        <v>16</v>
      </c>
    </row>
    <row r="14" spans="4:6" x14ac:dyDescent="0.3">
      <c r="D14" t="s">
        <v>18</v>
      </c>
    </row>
    <row r="16" spans="4:6" x14ac:dyDescent="0.3">
      <c r="D16" t="s">
        <v>17</v>
      </c>
    </row>
    <row r="18" spans="4:4" x14ac:dyDescent="0.3">
      <c r="D18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I17"/>
  <sheetViews>
    <sheetView workbookViewId="0">
      <selection activeCell="B1" sqref="B1"/>
    </sheetView>
  </sheetViews>
  <sheetFormatPr defaultRowHeight="14.4" x14ac:dyDescent="0.3"/>
  <cols>
    <col min="4" max="4" width="12.6640625" customWidth="1"/>
    <col min="5" max="5" width="10.33203125" customWidth="1"/>
    <col min="6" max="6" width="14.77734375" customWidth="1"/>
    <col min="7" max="7" width="11.6640625" customWidth="1"/>
  </cols>
  <sheetData>
    <row r="1" spans="2:9" x14ac:dyDescent="0.3">
      <c r="B1" s="6" t="s">
        <v>30</v>
      </c>
    </row>
    <row r="2" spans="2:9" x14ac:dyDescent="0.3">
      <c r="B2" t="s">
        <v>3</v>
      </c>
      <c r="C2" t="s">
        <v>1</v>
      </c>
      <c r="D2" t="s">
        <v>0</v>
      </c>
      <c r="F2" t="s">
        <v>2</v>
      </c>
    </row>
    <row r="3" spans="2:9" x14ac:dyDescent="0.3">
      <c r="B3" s="3">
        <v>3</v>
      </c>
      <c r="C3" s="3">
        <v>40</v>
      </c>
      <c r="D3" s="1">
        <f>SUM($E$10^2+$E$11^2+E12^2+$E$13^2+$E$3^2+$E$14^2)/(2*5)</f>
        <v>304660</v>
      </c>
      <c r="F3">
        <v>5.0000000000000002E-5</v>
      </c>
    </row>
    <row r="4" spans="2:9" x14ac:dyDescent="0.3">
      <c r="D4" s="1"/>
    </row>
    <row r="6" spans="2:9" x14ac:dyDescent="0.3">
      <c r="B6" t="s">
        <v>23</v>
      </c>
      <c r="I6">
        <v>4</v>
      </c>
    </row>
    <row r="7" spans="2:9" x14ac:dyDescent="0.3">
      <c r="I7">
        <v>5</v>
      </c>
    </row>
    <row r="8" spans="2:9" x14ac:dyDescent="0.3">
      <c r="B8" t="s">
        <v>20</v>
      </c>
      <c r="I8">
        <v>6</v>
      </c>
    </row>
    <row r="9" spans="2:9" x14ac:dyDescent="0.3">
      <c r="B9" t="s">
        <v>6</v>
      </c>
      <c r="C9" t="s">
        <v>7</v>
      </c>
      <c r="D9" t="s">
        <v>5</v>
      </c>
      <c r="E9" t="s">
        <v>4</v>
      </c>
      <c r="F9" t="s">
        <v>9</v>
      </c>
      <c r="G9" t="s">
        <v>10</v>
      </c>
      <c r="I9">
        <v>7</v>
      </c>
    </row>
    <row r="10" spans="2:9" x14ac:dyDescent="0.3">
      <c r="B10">
        <v>20</v>
      </c>
      <c r="C10">
        <v>500</v>
      </c>
      <c r="D10" s="2">
        <f>B10*$B$3+$C$3</f>
        <v>100</v>
      </c>
      <c r="E10" s="2">
        <f>D10-C10</f>
        <v>-400</v>
      </c>
      <c r="F10" s="2">
        <f>E10*B10</f>
        <v>-8000</v>
      </c>
      <c r="G10" s="2">
        <f>E10</f>
        <v>-400</v>
      </c>
      <c r="I10">
        <v>8</v>
      </c>
    </row>
    <row r="11" spans="2:9" x14ac:dyDescent="0.3">
      <c r="B11">
        <v>40</v>
      </c>
      <c r="C11">
        <v>700</v>
      </c>
      <c r="D11" s="2">
        <f t="shared" ref="D11:D14" si="0">B11*$B$3+$C$3</f>
        <v>160</v>
      </c>
      <c r="E11" s="2">
        <f t="shared" ref="E11:E14" si="1">D11-C11</f>
        <v>-540</v>
      </c>
      <c r="F11" s="2">
        <f t="shared" ref="F11:F14" si="2">E11*B11</f>
        <v>-21600</v>
      </c>
      <c r="G11" s="2">
        <f t="shared" ref="G11:G14" si="3">E11</f>
        <v>-540</v>
      </c>
      <c r="I11">
        <v>9</v>
      </c>
    </row>
    <row r="12" spans="2:9" x14ac:dyDescent="0.3">
      <c r="B12">
        <v>80</v>
      </c>
      <c r="C12">
        <v>1050</v>
      </c>
      <c r="D12" s="2">
        <f t="shared" si="0"/>
        <v>280</v>
      </c>
      <c r="E12" s="2">
        <f t="shared" si="1"/>
        <v>-770</v>
      </c>
      <c r="F12" s="2">
        <f t="shared" si="2"/>
        <v>-61600</v>
      </c>
      <c r="G12" s="2">
        <f t="shared" si="3"/>
        <v>-770</v>
      </c>
      <c r="I12">
        <v>10</v>
      </c>
    </row>
    <row r="13" spans="2:9" x14ac:dyDescent="0.3">
      <c r="B13">
        <v>90</v>
      </c>
      <c r="C13">
        <v>1200</v>
      </c>
      <c r="D13" s="2">
        <f t="shared" si="0"/>
        <v>310</v>
      </c>
      <c r="E13" s="2">
        <f t="shared" si="1"/>
        <v>-890</v>
      </c>
      <c r="F13" s="2">
        <f t="shared" si="2"/>
        <v>-80100</v>
      </c>
      <c r="G13" s="2">
        <f t="shared" si="3"/>
        <v>-890</v>
      </c>
    </row>
    <row r="14" spans="2:9" x14ac:dyDescent="0.3">
      <c r="B14">
        <v>120</v>
      </c>
      <c r="C14">
        <v>1500</v>
      </c>
      <c r="D14" s="2">
        <f t="shared" si="0"/>
        <v>400</v>
      </c>
      <c r="E14" s="2">
        <f t="shared" si="1"/>
        <v>-1100</v>
      </c>
      <c r="F14" s="2">
        <f t="shared" si="2"/>
        <v>-132000</v>
      </c>
      <c r="G14" s="2">
        <f t="shared" si="3"/>
        <v>-1100</v>
      </c>
    </row>
    <row r="15" spans="2:9" x14ac:dyDescent="0.3">
      <c r="D15" s="2"/>
      <c r="E15" s="2"/>
      <c r="F15" s="2"/>
      <c r="G15" s="2"/>
    </row>
    <row r="16" spans="2:9" x14ac:dyDescent="0.3">
      <c r="D16" s="2"/>
      <c r="E16" s="2" t="s">
        <v>8</v>
      </c>
      <c r="F16" s="4">
        <f>-SUM(F10:F14)*(1/5)*F3</f>
        <v>3.0330000000000004</v>
      </c>
      <c r="G16" s="4">
        <f>-SUM(G10:G14)*(1/5)</f>
        <v>740</v>
      </c>
    </row>
    <row r="17" spans="4:7" x14ac:dyDescent="0.3">
      <c r="D17" s="2"/>
      <c r="E17" s="2" t="s">
        <v>11</v>
      </c>
      <c r="F17" s="4">
        <f>B3+F16</f>
        <v>6.0330000000000004</v>
      </c>
      <c r="G17" s="4">
        <f>C3+G16</f>
        <v>780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H17"/>
  <sheetViews>
    <sheetView workbookViewId="0">
      <selection activeCell="C18" sqref="C18"/>
    </sheetView>
  </sheetViews>
  <sheetFormatPr defaultRowHeight="14.4" x14ac:dyDescent="0.3"/>
  <cols>
    <col min="8" max="8" width="12.6640625" customWidth="1"/>
  </cols>
  <sheetData>
    <row r="3" spans="2:8" x14ac:dyDescent="0.3">
      <c r="B3">
        <v>1</v>
      </c>
      <c r="C3" t="s">
        <v>21</v>
      </c>
      <c r="H3" s="1"/>
    </row>
    <row r="4" spans="2:8" x14ac:dyDescent="0.3">
      <c r="H4" s="1"/>
    </row>
    <row r="5" spans="2:8" x14ac:dyDescent="0.3">
      <c r="B5">
        <v>2</v>
      </c>
      <c r="C5" t="s">
        <v>24</v>
      </c>
    </row>
    <row r="7" spans="2:8" x14ac:dyDescent="0.3">
      <c r="B7">
        <v>3</v>
      </c>
      <c r="C7" t="s">
        <v>22</v>
      </c>
    </row>
    <row r="9" spans="2:8" x14ac:dyDescent="0.3">
      <c r="B9">
        <v>4</v>
      </c>
      <c r="C9" t="s">
        <v>27</v>
      </c>
    </row>
    <row r="11" spans="2:8" x14ac:dyDescent="0.3">
      <c r="C11" t="s">
        <v>28</v>
      </c>
    </row>
    <row r="13" spans="2:8" x14ac:dyDescent="0.3">
      <c r="C13" t="s">
        <v>25</v>
      </c>
    </row>
    <row r="15" spans="2:8" x14ac:dyDescent="0.3">
      <c r="C15" t="s">
        <v>26</v>
      </c>
    </row>
    <row r="17" spans="3:3" x14ac:dyDescent="0.3">
      <c r="C17" t="s">
        <v>29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5"/>
  <sheetViews>
    <sheetView workbookViewId="0">
      <selection activeCell="E19" sqref="E19:E20"/>
    </sheetView>
  </sheetViews>
  <sheetFormatPr defaultRowHeight="14.4" x14ac:dyDescent="0.3"/>
  <sheetData>
    <row r="3" spans="3:3" x14ac:dyDescent="0.3">
      <c r="C3" t="s">
        <v>25</v>
      </c>
    </row>
    <row r="5" spans="3:3" x14ac:dyDescent="0.3">
      <c r="C5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J6"/>
  <sheetViews>
    <sheetView tabSelected="1" workbookViewId="0">
      <selection activeCell="C6" sqref="C6"/>
    </sheetView>
  </sheetViews>
  <sheetFormatPr defaultRowHeight="14.4" x14ac:dyDescent="0.3"/>
  <sheetData>
    <row r="2" spans="2:10" x14ac:dyDescent="0.3">
      <c r="B2" s="6" t="s">
        <v>31</v>
      </c>
      <c r="D2" s="7" t="s">
        <v>32</v>
      </c>
      <c r="E2" s="7" t="s">
        <v>35</v>
      </c>
      <c r="F2" s="7" t="s">
        <v>36</v>
      </c>
      <c r="G2" s="7" t="s">
        <v>33</v>
      </c>
      <c r="H2" s="7" t="s">
        <v>37</v>
      </c>
      <c r="I2" s="7" t="s">
        <v>34</v>
      </c>
      <c r="J2" s="7" t="s">
        <v>38</v>
      </c>
    </row>
    <row r="3" spans="2:10" x14ac:dyDescent="0.3">
      <c r="B3" t="s">
        <v>39</v>
      </c>
      <c r="D3" s="7">
        <v>1</v>
      </c>
      <c r="E3" s="7"/>
      <c r="F3" s="7"/>
      <c r="G3" s="7"/>
      <c r="H3" s="7"/>
      <c r="I3" s="7"/>
      <c r="J3" s="7"/>
    </row>
    <row r="4" spans="2:10" x14ac:dyDescent="0.3">
      <c r="B4" t="s">
        <v>40</v>
      </c>
      <c r="D4" s="7"/>
      <c r="E4" s="7"/>
      <c r="F4" s="7"/>
      <c r="G4" s="7">
        <v>1</v>
      </c>
      <c r="H4" s="7"/>
      <c r="I4" s="7"/>
      <c r="J4" s="7"/>
    </row>
    <row r="5" spans="2:10" x14ac:dyDescent="0.3">
      <c r="B5" t="s">
        <v>41</v>
      </c>
      <c r="D5" s="7"/>
      <c r="E5" s="7"/>
      <c r="F5" s="7"/>
      <c r="G5" s="7"/>
      <c r="H5" s="7"/>
      <c r="I5" s="7">
        <v>1</v>
      </c>
      <c r="J5" s="7"/>
    </row>
    <row r="6" spans="2:10" x14ac:dyDescent="0.3">
      <c r="B6" t="s">
        <v>42</v>
      </c>
      <c r="D6" s="7"/>
      <c r="E6" s="7">
        <v>1</v>
      </c>
      <c r="F6" s="7"/>
      <c r="G6" s="7"/>
      <c r="H6" s="7"/>
      <c r="I6" s="7"/>
      <c r="J6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</vt:lpstr>
      <vt:lpstr>Train</vt:lpstr>
      <vt:lpstr>Summary</vt:lpstr>
      <vt:lpstr>Validera</vt:lpstr>
      <vt:lpstr>One hot encoding</vt:lpstr>
    </vt:vector>
  </TitlesOfParts>
  <Company>Capgemini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Emanuelsson, Niklas</dc:creator>
  <cp:lastModifiedBy>Emanuelsson, Niklas</cp:lastModifiedBy>
  <dcterms:created xsi:type="dcterms:W3CDTF">2017-10-11T07:12:33Z</dcterms:created>
  <dcterms:modified xsi:type="dcterms:W3CDTF">2017-10-22T11:59:49Z</dcterms:modified>
</cp:coreProperties>
</file>